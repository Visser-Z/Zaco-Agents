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R-1C09]* #,##0.00_-;\-[$R-1C09]* #,##0.00_-;_-[$R-1C09]* &quot;-&quot;??_-;_-@_-"/>
    <numFmt numFmtId="165" formatCode="_ * #,##0_ ;_ * \-#,##0_ ;_ * &quot;-&quot;??_ ;_ @_ "/>
    <numFmt numFmtId="166" formatCode="_ * #,##0.00000_ ;_ * \-#,##0.00000_ ;_ * &quot;-&quot;??_ ;_ @_ "/>
    <numFmt numFmtId="167" formatCode="_-* #,##0.00_-;\-* #,##0.00_-;_-* &quot;-&quot;??_-;_-@_-"/>
    <numFmt numFmtId="168" formatCode="#,##0.00000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0"/>
    </font>
    <font>
      <name val="Aptos Narrow"/>
      <family val="2"/>
      <sz val="8"/>
      <scheme val="minor"/>
    </font>
    <font>
      <name val="Calibri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16" fontId="2" fillId="0" borderId="0" applyAlignment="1" pivotButton="0" quotePrefix="0" xfId="0">
      <alignment horizontal="left"/>
    </xf>
    <xf numFmtId="164" fontId="2" fillId="0" borderId="0" pivotButton="0" quotePrefix="0" xfId="0"/>
    <xf numFmtId="0" fontId="2" fillId="2" borderId="0" pivotButton="0" quotePrefix="0" xfId="0"/>
    <xf numFmtId="165" fontId="2" fillId="0" borderId="0" pivotButton="0" quotePrefix="0" xfId="0"/>
    <xf numFmtId="166" fontId="2" fillId="0" borderId="0" pivotButton="0" quotePrefix="0" xfId="1"/>
    <xf numFmtId="167" fontId="2" fillId="0" borderId="0" pivotButton="0" quotePrefix="0" xfId="1"/>
    <xf numFmtId="9" fontId="2" fillId="0" borderId="0" applyAlignment="1" pivotButton="0" quotePrefix="0" xfId="2">
      <alignment horizontal="right"/>
    </xf>
    <xf numFmtId="49" fontId="2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wrapText="1"/>
    </xf>
    <xf numFmtId="164" fontId="4" fillId="3" borderId="0" applyAlignment="1" pivotButton="0" quotePrefix="0" xfId="0">
      <alignment wrapText="1"/>
    </xf>
    <xf numFmtId="165" fontId="4" fillId="3" borderId="0" applyAlignment="1" pivotButton="0" quotePrefix="0" xfId="1">
      <alignment horizontal="left" wrapText="1"/>
    </xf>
    <xf numFmtId="167" fontId="4" fillId="3" borderId="0" pivotButton="0" quotePrefix="0" xfId="1"/>
    <xf numFmtId="167" fontId="4" fillId="4" borderId="0" pivotButton="0" quotePrefix="0" xfId="1"/>
    <xf numFmtId="167" fontId="4" fillId="3" borderId="0" applyAlignment="1" pivotButton="0" quotePrefix="0" xfId="1">
      <alignment wrapText="1"/>
    </xf>
    <xf numFmtId="0" fontId="4" fillId="3" borderId="0" applyAlignment="1" pivotButton="0" quotePrefix="0" xfId="0">
      <alignment horizontal="right" wrapText="1"/>
    </xf>
    <xf numFmtId="49" fontId="4" fillId="3" borderId="0" applyAlignment="1" pivotButton="0" quotePrefix="0" xfId="0">
      <alignment horizontal="left" wrapText="1"/>
    </xf>
    <xf numFmtId="167" fontId="4" fillId="3" borderId="0" pivotButton="0" quotePrefix="0" xfId="1"/>
    <xf numFmtId="167" fontId="4" fillId="4" borderId="0" pivotButton="0" quotePrefix="0" xfId="1"/>
    <xf numFmtId="167" fontId="4" fillId="3" borderId="0" applyAlignment="1" pivotButton="0" quotePrefix="0" xfId="1">
      <alignment wrapText="1"/>
    </xf>
    <xf numFmtId="166" fontId="2" fillId="0" borderId="0" pivotButton="0" quotePrefix="0" xfId="1"/>
    <xf numFmtId="167" fontId="2" fillId="0" borderId="0" pivotButton="0" quotePrefix="0" xfId="1"/>
    <xf numFmtId="3" fontId="2" fillId="0" borderId="0" pivotButton="0" quotePrefix="0" xfId="0"/>
    <xf numFmtId="4" fontId="2" fillId="0" borderId="0" pivotButton="0" quotePrefix="0" xfId="0"/>
    <xf numFmtId="3" fontId="2" fillId="2" borderId="0" pivotButton="0" quotePrefix="0" xfId="0"/>
    <xf numFmtId="168" fontId="2" fillId="0" borderId="0" pivotButton="0" quotePrefix="0" xfId="1"/>
    <xf numFmtId="4" fontId="2" fillId="0" borderId="0" pivotButton="0" quotePrefix="0" xfId="1"/>
    <xf numFmtId="1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  <xf numFmtId="9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tabSelected="1" workbookViewId="0">
      <selection activeCell="V8" sqref="V8"/>
    </sheetView>
  </sheetViews>
  <sheetFormatPr baseColWidth="8" defaultRowHeight="15"/>
  <cols>
    <col width="6" bestFit="1" customWidth="1" min="1" max="1"/>
    <col width="11.85546875" bestFit="1" customWidth="1" min="2" max="2"/>
    <col width="9.7109375" bestFit="1" customWidth="1" min="3" max="3"/>
    <col width="6.140625" bestFit="1" customWidth="1" min="4" max="4"/>
    <col width="7" bestFit="1" customWidth="1" min="5" max="5"/>
    <col width="9.85546875" bestFit="1" customWidth="1" min="6" max="6"/>
    <col width="7.7109375" customWidth="1" min="7" max="8"/>
    <col width="7.5703125" bestFit="1" customWidth="1" min="9" max="9"/>
    <col width="7.140625" customWidth="1" min="10" max="10"/>
    <col width="9.28515625" bestFit="1" customWidth="1" min="11" max="12"/>
    <col width="10.7109375" bestFit="1" customWidth="1" min="13" max="13"/>
    <col width="10.140625" bestFit="1" customWidth="1" min="14" max="14"/>
    <col width="12.28515625" customWidth="1" min="15" max="15"/>
    <col width="7.42578125" bestFit="1" customWidth="1" min="16" max="16"/>
    <col width="7.5703125" bestFit="1" customWidth="1" min="17" max="17"/>
    <col width="9" customWidth="1" min="18" max="18"/>
    <col width="11.28515625" customWidth="1" min="19" max="19"/>
    <col width="7.85546875" customWidth="1" min="20" max="20"/>
    <col width="22" customWidth="1" min="21" max="21"/>
  </cols>
  <sheetData>
    <row r="1" ht="29.25" customHeight="1">
      <c r="A1" s="10" t="inlineStr">
        <is>
          <t>DN</t>
        </is>
      </c>
      <c r="B1" s="10" t="inlineStr">
        <is>
          <t>Market Agent</t>
        </is>
      </c>
      <c r="C1" s="11" t="inlineStr">
        <is>
          <t>Completed</t>
        </is>
      </c>
      <c r="D1" s="10" t="inlineStr">
        <is>
          <t>Date</t>
        </is>
      </c>
      <c r="E1" s="10" t="inlineStr">
        <is>
          <t>STM No</t>
        </is>
      </c>
      <c r="F1" s="10" t="inlineStr">
        <is>
          <t>Description</t>
        </is>
      </c>
      <c r="G1" s="12" t="inlineStr">
        <is>
          <t>Qty Received</t>
        </is>
      </c>
      <c r="H1" s="13" t="inlineStr">
        <is>
          <t>Opening Stock</t>
        </is>
      </c>
      <c r="I1" s="14" t="inlineStr">
        <is>
          <t>Frui Price/crt</t>
        </is>
      </c>
      <c r="J1" s="15" t="inlineStr">
        <is>
          <t>Cartons Sold</t>
        </is>
      </c>
      <c r="K1" s="11" t="inlineStr">
        <is>
          <t>Baby Stock</t>
        </is>
      </c>
      <c r="L1" s="21" t="inlineStr">
        <is>
          <t>Price</t>
        </is>
      </c>
      <c r="M1" s="21" t="inlineStr">
        <is>
          <t>Gross Total</t>
        </is>
      </c>
      <c r="N1" s="22" t="inlineStr">
        <is>
          <t>Nett Total</t>
        </is>
      </c>
      <c r="O1" s="23" t="inlineStr">
        <is>
          <t>Nett Price/crt</t>
        </is>
      </c>
      <c r="P1" s="21" t="inlineStr">
        <is>
          <t>Z R/crt</t>
        </is>
      </c>
      <c r="Q1" s="21" t="inlineStr">
        <is>
          <t>Z Total</t>
        </is>
      </c>
      <c r="R1" s="19" t="inlineStr">
        <is>
          <t>% Markup</t>
        </is>
      </c>
      <c r="S1" s="23" t="inlineStr">
        <is>
          <t>Frui Curr Sales Value</t>
        </is>
      </c>
      <c r="T1" s="20" t="inlineStr">
        <is>
          <t>Status</t>
        </is>
      </c>
      <c r="U1" s="20" t="inlineStr">
        <is>
          <t>NOTES</t>
        </is>
      </c>
    </row>
    <row r="2">
      <c r="A2" s="1" t="n"/>
      <c r="B2" s="1" t="n"/>
      <c r="C2" s="1" t="n"/>
      <c r="D2" s="2" t="n"/>
      <c r="E2" s="1" t="n"/>
      <c r="F2" s="1" t="n"/>
      <c r="G2" s="26" t="n"/>
      <c r="H2" s="26" t="n"/>
      <c r="I2" s="27">
        <f>IFERROR(O2*70%,"-")</f>
        <v/>
      </c>
      <c r="J2" s="28" t="n"/>
      <c r="K2" s="26">
        <f>H2-J2</f>
        <v/>
      </c>
      <c r="L2" s="29" t="n"/>
      <c r="M2" s="30">
        <f>SUM(J2*L2)</f>
        <v/>
      </c>
      <c r="N2" s="30" t="n"/>
      <c r="O2" s="30">
        <f>IFERROR(N2/J2,"-")</f>
        <v/>
      </c>
      <c r="P2" s="30">
        <f>IFERROR(O2-I2,"-")</f>
        <v/>
      </c>
      <c r="Q2" s="30">
        <f>N2-S2</f>
        <v/>
      </c>
      <c r="R2" s="8">
        <f>IFERROR(P2/O2,"-")</f>
        <v/>
      </c>
      <c r="S2" s="30">
        <f>I2*J2</f>
        <v/>
      </c>
      <c r="T2" s="9" t="n"/>
    </row>
    <row r="3">
      <c r="A3" s="1" t="n"/>
      <c r="B3" s="1" t="n"/>
      <c r="C3" s="1" t="n"/>
      <c r="D3" s="2" t="n"/>
      <c r="E3" s="1" t="n"/>
      <c r="F3" s="1" t="n"/>
      <c r="G3" s="26" t="n"/>
      <c r="H3" s="26" t="n"/>
      <c r="I3" s="27">
        <f>IFERROR(O3*70%,"-")</f>
        <v/>
      </c>
      <c r="J3" s="28" t="n"/>
      <c r="K3" s="26">
        <f>H3-J3</f>
        <v/>
      </c>
      <c r="L3" s="29" t="n"/>
      <c r="M3" s="30">
        <f>SUM(J3*L3)</f>
        <v/>
      </c>
      <c r="N3" s="30" t="n"/>
      <c r="O3" s="30">
        <f>IFERROR(N3/J3,"-")</f>
        <v/>
      </c>
      <c r="P3" s="30">
        <f>IFERROR(O3-I3,"-")</f>
        <v/>
      </c>
      <c r="Q3" s="30">
        <f>N3-S3</f>
        <v/>
      </c>
      <c r="R3" s="8">
        <f>IFERROR(P3/O3,"-")</f>
        <v/>
      </c>
      <c r="S3" s="30">
        <f>I3*J3</f>
        <v/>
      </c>
      <c r="T3" s="9" t="n"/>
    </row>
    <row r="4">
      <c r="A4" s="1" t="n"/>
      <c r="B4" s="1" t="n"/>
      <c r="C4" s="1" t="n"/>
      <c r="D4" s="2" t="n"/>
      <c r="E4" s="1" t="n"/>
      <c r="F4" s="1" t="n"/>
      <c r="G4" s="26" t="n"/>
      <c r="H4" s="26" t="n"/>
      <c r="I4" s="27">
        <f>IFERROR(O4*70%,"-")</f>
        <v/>
      </c>
      <c r="J4" s="28" t="n"/>
      <c r="K4" s="26">
        <f>H4-J4</f>
        <v/>
      </c>
      <c r="L4" s="29" t="n"/>
      <c r="M4" s="30">
        <f>SUM(J4*L4)</f>
        <v/>
      </c>
      <c r="N4" s="30" t="n"/>
      <c r="O4" s="30">
        <f>IFERROR(N4/J4,"-")</f>
        <v/>
      </c>
      <c r="P4" s="30">
        <f>IFERROR(O4-I4,"-")</f>
        <v/>
      </c>
      <c r="Q4" s="30">
        <f>N4-S4</f>
        <v/>
      </c>
      <c r="R4" s="8">
        <f>IFERROR(P4/O4,"-")</f>
        <v/>
      </c>
      <c r="S4" s="30">
        <f>I4*J4</f>
        <v/>
      </c>
      <c r="T4" s="9" t="n"/>
    </row>
    <row r="5">
      <c r="A5" s="1" t="n"/>
      <c r="B5" s="1" t="n"/>
      <c r="C5" s="1" t="n"/>
      <c r="D5" s="2" t="n"/>
      <c r="E5" s="1" t="n"/>
      <c r="F5" s="1" t="n"/>
      <c r="G5" s="26" t="n"/>
      <c r="H5" s="26" t="n"/>
      <c r="I5" s="27">
        <f>IFERROR(O5*70%,"-")</f>
        <v/>
      </c>
      <c r="J5" s="28" t="n"/>
      <c r="K5" s="26">
        <f>H5-J5</f>
        <v/>
      </c>
      <c r="L5" s="29" t="n"/>
      <c r="M5" s="30">
        <f>SUM(J5*L5)</f>
        <v/>
      </c>
      <c r="N5" s="30" t="n"/>
      <c r="O5" s="30">
        <f>IFERROR(N5/J5,"-")</f>
        <v/>
      </c>
      <c r="P5" s="30">
        <f>IFERROR(O5-I5,"-")</f>
        <v/>
      </c>
      <c r="Q5" s="30">
        <f>N5-S5</f>
        <v/>
      </c>
      <c r="R5" s="8">
        <f>IFERROR(P5/O5,"-")</f>
        <v/>
      </c>
      <c r="S5" s="30">
        <f>I5*J5</f>
        <v/>
      </c>
      <c r="T5" s="9" t="n"/>
    </row>
    <row r="6">
      <c r="A6" s="1" t="n"/>
      <c r="B6" s="1" t="n"/>
      <c r="C6" s="1" t="n"/>
      <c r="D6" s="2" t="n"/>
      <c r="E6" s="1" t="n"/>
      <c r="F6" s="1" t="n"/>
      <c r="G6" s="26" t="n"/>
      <c r="H6" s="26" t="n"/>
      <c r="I6" s="27">
        <f>IFERROR(O6*70%,"-")</f>
        <v/>
      </c>
      <c r="J6" s="28" t="n"/>
      <c r="K6" s="26">
        <f>H6-J6</f>
        <v/>
      </c>
      <c r="L6" s="29" t="n"/>
      <c r="M6" s="30">
        <f>SUM(J6*L6)</f>
        <v/>
      </c>
      <c r="N6" s="30" t="n"/>
      <c r="O6" s="30">
        <f>IFERROR(N6/J6,"-")</f>
        <v/>
      </c>
      <c r="P6" s="30">
        <f>IFERROR(O6-I6,"-")</f>
        <v/>
      </c>
      <c r="Q6" s="30">
        <f>N6-S6</f>
        <v/>
      </c>
      <c r="R6" s="8">
        <f>IFERROR(P6/O6,"-")</f>
        <v/>
      </c>
      <c r="S6" s="30">
        <f>I6*J6</f>
        <v/>
      </c>
      <c r="T6" s="9" t="n"/>
    </row>
    <row r="7">
      <c r="A7" s="1" t="n"/>
      <c r="B7" s="1" t="n"/>
      <c r="C7" s="1" t="n"/>
      <c r="D7" s="2" t="n"/>
      <c r="E7" s="1" t="n"/>
      <c r="F7" s="1" t="n"/>
      <c r="G7" s="26" t="n"/>
      <c r="H7" s="26" t="n"/>
      <c r="I7" s="27">
        <f>IFERROR(O7*70%,"-")</f>
        <v/>
      </c>
      <c r="J7" s="28" t="n"/>
      <c r="K7" s="26">
        <f>H7-J7</f>
        <v/>
      </c>
      <c r="L7" s="29" t="n"/>
      <c r="M7" s="30">
        <f>SUM(J7*L7)</f>
        <v/>
      </c>
      <c r="N7" s="30" t="n"/>
      <c r="O7" s="30">
        <f>IFERROR(N7/J7,"-")</f>
        <v/>
      </c>
      <c r="P7" s="30">
        <f>IFERROR(O7-I7,"-")</f>
        <v/>
      </c>
      <c r="Q7" s="30">
        <f>N7-S7</f>
        <v/>
      </c>
      <c r="R7" s="8">
        <f>IFERROR(P7/O7,"-")</f>
        <v/>
      </c>
      <c r="S7" s="30">
        <f>I7*J7</f>
        <v/>
      </c>
      <c r="T7" s="9" t="n"/>
    </row>
    <row r="8">
      <c r="A8" s="1" t="n"/>
      <c r="B8" s="1" t="n"/>
      <c r="C8" s="1" t="n"/>
      <c r="D8" s="2" t="n"/>
      <c r="E8" s="1" t="n"/>
      <c r="F8" s="1" t="n"/>
      <c r="G8" s="26" t="n"/>
      <c r="H8" s="26" t="n"/>
      <c r="I8" s="27">
        <f>IFERROR(O8*70%,"-")</f>
        <v/>
      </c>
      <c r="J8" s="28" t="n"/>
      <c r="K8" s="26">
        <f>H8-J8</f>
        <v/>
      </c>
      <c r="L8" s="29" t="n"/>
      <c r="M8" s="30">
        <f>SUM(J8*L8)</f>
        <v/>
      </c>
      <c r="N8" s="30" t="n"/>
      <c r="O8" s="30">
        <f>IFERROR(N8/J8,"-")</f>
        <v/>
      </c>
      <c r="P8" s="30">
        <f>IFERROR(O8-I8,"-")</f>
        <v/>
      </c>
      <c r="Q8" s="30">
        <f>N8-S8</f>
        <v/>
      </c>
      <c r="R8" s="8">
        <f>IFERROR(P8/O8,"-")</f>
        <v/>
      </c>
      <c r="S8" s="30">
        <f>I8*J8</f>
        <v/>
      </c>
      <c r="T8" s="9" t="n"/>
    </row>
    <row r="9">
      <c r="A9" s="1" t="n"/>
      <c r="B9" s="1" t="n"/>
      <c r="C9" s="1" t="n"/>
      <c r="D9" s="2" t="n"/>
      <c r="E9" s="1" t="n"/>
      <c r="F9" s="1" t="n"/>
      <c r="G9" s="26" t="n"/>
      <c r="H9" s="26" t="n"/>
      <c r="I9" s="27">
        <f>IFERROR(O9*70%,"-")</f>
        <v/>
      </c>
      <c r="J9" s="28" t="n"/>
      <c r="K9" s="26">
        <f>H9-J9</f>
        <v/>
      </c>
      <c r="L9" s="29" t="n"/>
      <c r="M9" s="30">
        <f>SUM(J9*L9)</f>
        <v/>
      </c>
      <c r="N9" s="30" t="n"/>
      <c r="O9" s="30">
        <f>IFERROR(N9/J9,"-")</f>
        <v/>
      </c>
      <c r="P9" s="30">
        <f>IFERROR(O9-I9,"-")</f>
        <v/>
      </c>
      <c r="Q9" s="30">
        <f>N9-S9</f>
        <v/>
      </c>
      <c r="R9" s="8">
        <f>IFERROR(P9/O9,"-")</f>
        <v/>
      </c>
      <c r="S9" s="30">
        <f>I9*J9</f>
        <v/>
      </c>
      <c r="T9" s="9" t="n"/>
    </row>
    <row r="10">
      <c r="A10" s="1" t="n"/>
      <c r="B10" s="1" t="n"/>
      <c r="C10" s="1" t="n"/>
      <c r="D10" s="2" t="n"/>
      <c r="E10" s="1" t="n"/>
      <c r="F10" s="1" t="n"/>
      <c r="G10" s="26" t="n"/>
      <c r="H10" s="26" t="n"/>
      <c r="I10" s="27">
        <f>IFERROR(O10*70%,"-")</f>
        <v/>
      </c>
      <c r="J10" s="28" t="n"/>
      <c r="K10" s="26">
        <f>H10-J10</f>
        <v/>
      </c>
      <c r="L10" s="29" t="n"/>
      <c r="M10" s="30">
        <f>SUM(J10*L10)</f>
        <v/>
      </c>
      <c r="N10" s="30" t="n"/>
      <c r="O10" s="30">
        <f>IFERROR(N10/J10,"-")</f>
        <v/>
      </c>
      <c r="P10" s="30">
        <f>IFERROR(O10-I10,"-")</f>
        <v/>
      </c>
      <c r="Q10" s="30">
        <f>N10-S10</f>
        <v/>
      </c>
      <c r="R10" s="8">
        <f>IFERROR(P10/O10,"-")</f>
        <v/>
      </c>
      <c r="S10" s="30">
        <f>I10*J10</f>
        <v/>
      </c>
      <c r="T10" s="9" t="n"/>
    </row>
    <row r="11">
      <c r="A11" s="1" t="n"/>
      <c r="B11" s="1" t="n"/>
      <c r="C11" s="1" t="n"/>
      <c r="D11" s="2" t="n"/>
      <c r="E11" s="1" t="n"/>
      <c r="F11" s="1" t="n"/>
      <c r="G11" s="26" t="n"/>
      <c r="H11" s="26" t="n"/>
      <c r="I11" s="27">
        <f>IFERROR(O11*70%,"-")</f>
        <v/>
      </c>
      <c r="J11" s="28" t="n"/>
      <c r="K11" s="26">
        <f>H11-J11</f>
        <v/>
      </c>
      <c r="L11" s="29" t="n"/>
      <c r="M11" s="30">
        <f>SUM(J11*L11)</f>
        <v/>
      </c>
      <c r="N11" s="30" t="n"/>
      <c r="O11" s="30">
        <f>IFERROR(N11/J11,"-")</f>
        <v/>
      </c>
      <c r="P11" s="30">
        <f>IFERROR(O11-I11,"-")</f>
        <v/>
      </c>
      <c r="Q11" s="30">
        <f>N11-S11</f>
        <v/>
      </c>
      <c r="R11" s="8">
        <f>IFERROR(P11/O11,"-")</f>
        <v/>
      </c>
      <c r="S11" s="30">
        <f>I11*J11</f>
        <v/>
      </c>
      <c r="T11" s="9" t="n"/>
    </row>
    <row r="12">
      <c r="A12" s="1" t="n"/>
      <c r="B12" s="1" t="n"/>
      <c r="C12" s="1" t="n"/>
      <c r="D12" s="2" t="n"/>
      <c r="E12" s="1" t="n"/>
      <c r="F12" s="1" t="n"/>
      <c r="G12" s="26" t="n"/>
      <c r="H12" s="26" t="n"/>
      <c r="I12" s="27">
        <f>IFERROR(O12*70%,"-")</f>
        <v/>
      </c>
      <c r="J12" s="28" t="n"/>
      <c r="K12" s="26">
        <f>H12-J12</f>
        <v/>
      </c>
      <c r="L12" s="29" t="n"/>
      <c r="M12" s="30">
        <f>SUM(J12*L12)</f>
        <v/>
      </c>
      <c r="N12" s="30" t="n"/>
      <c r="O12" s="30">
        <f>IFERROR(N12/J12,"-")</f>
        <v/>
      </c>
      <c r="P12" s="30">
        <f>IFERROR(O12-I12,"-")</f>
        <v/>
      </c>
      <c r="Q12" s="30">
        <f>N12-S12</f>
        <v/>
      </c>
      <c r="R12" s="8">
        <f>IFERROR(P12/O12,"-")</f>
        <v/>
      </c>
      <c r="S12" s="30">
        <f>I12*J12</f>
        <v/>
      </c>
      <c r="T12" s="9" t="n"/>
    </row>
    <row r="13">
      <c r="A13" s="1" t="n"/>
      <c r="B13" s="1" t="n"/>
      <c r="C13" s="1" t="n"/>
      <c r="D13" s="2" t="n"/>
      <c r="E13" s="1" t="n"/>
      <c r="F13" s="1" t="n"/>
      <c r="G13" s="26" t="n"/>
      <c r="H13" s="26" t="n"/>
      <c r="I13" s="27">
        <f>IFERROR(O13*70%,"-")</f>
        <v/>
      </c>
      <c r="J13" s="28" t="n"/>
      <c r="K13" s="26">
        <f>H13-J13</f>
        <v/>
      </c>
      <c r="L13" s="29" t="n"/>
      <c r="M13" s="30">
        <f>SUM(J13*L13)</f>
        <v/>
      </c>
      <c r="N13" s="30" t="n"/>
      <c r="O13" s="30">
        <f>IFERROR(N13/J13,"-")</f>
        <v/>
      </c>
      <c r="P13" s="30">
        <f>IFERROR(O13-I13,"-")</f>
        <v/>
      </c>
      <c r="Q13" s="30">
        <f>N13-S13</f>
        <v/>
      </c>
      <c r="R13" s="8">
        <f>IFERROR(P13/O13,"-")</f>
        <v/>
      </c>
      <c r="S13" s="30">
        <f>I13*J13</f>
        <v/>
      </c>
      <c r="T13" s="9" t="n"/>
    </row>
    <row r="14">
      <c r="A14" s="1" t="n"/>
      <c r="B14" s="1" t="n"/>
      <c r="C14" s="1" t="n"/>
      <c r="D14" s="2" t="n"/>
      <c r="E14" s="1" t="n"/>
      <c r="F14" s="1" t="n"/>
      <c r="G14" s="26" t="n"/>
      <c r="H14" s="26" t="n"/>
      <c r="I14" s="27">
        <f>IFERROR(O14*70%,"-")</f>
        <v/>
      </c>
      <c r="J14" s="28" t="n"/>
      <c r="K14" s="26">
        <f>H14-J14</f>
        <v/>
      </c>
      <c r="L14" s="29" t="n"/>
      <c r="M14" s="30">
        <f>SUM(J14*L14)</f>
        <v/>
      </c>
      <c r="N14" s="30" t="n"/>
      <c r="O14" s="30">
        <f>IFERROR(N14/J14,"-")</f>
        <v/>
      </c>
      <c r="P14" s="30">
        <f>IFERROR(O14-I14,"-")</f>
        <v/>
      </c>
      <c r="Q14" s="30">
        <f>N14-S14</f>
        <v/>
      </c>
      <c r="R14" s="8">
        <f>IFERROR(P14/O14,"-")</f>
        <v/>
      </c>
      <c r="S14" s="30">
        <f>I14*J14</f>
        <v/>
      </c>
      <c r="T14" s="9" t="n"/>
    </row>
    <row r="15">
      <c r="A15" s="1" t="n"/>
      <c r="B15" s="1" t="n"/>
      <c r="C15" s="1" t="n"/>
      <c r="D15" s="2" t="n"/>
      <c r="E15" s="1" t="n"/>
      <c r="F15" s="1" t="n"/>
      <c r="G15" s="26" t="n"/>
      <c r="H15" s="26" t="n"/>
      <c r="I15" s="27">
        <f>IFERROR(O15*70%,"-")</f>
        <v/>
      </c>
      <c r="J15" s="28" t="n"/>
      <c r="K15" s="26">
        <f>H15-J15</f>
        <v/>
      </c>
      <c r="L15" s="29" t="n"/>
      <c r="M15" s="30">
        <f>SUM(J15*L15)</f>
        <v/>
      </c>
      <c r="N15" s="30" t="n"/>
      <c r="O15" s="30">
        <f>IFERROR(N15/J15,"-")</f>
        <v/>
      </c>
      <c r="P15" s="30">
        <f>IFERROR(O15-I15,"-")</f>
        <v/>
      </c>
      <c r="Q15" s="30">
        <f>N15-S15</f>
        <v/>
      </c>
      <c r="R15" s="8">
        <f>IFERROR(P15/O15,"-")</f>
        <v/>
      </c>
      <c r="S15" s="30">
        <f>I15*J15</f>
        <v/>
      </c>
      <c r="T15" s="9" t="n"/>
    </row>
    <row r="16">
      <c r="A16" s="1" t="n"/>
      <c r="B16" s="1" t="n"/>
      <c r="C16" s="1" t="n"/>
      <c r="D16" s="2" t="n"/>
      <c r="E16" s="1" t="n"/>
      <c r="F16" s="1" t="n"/>
      <c r="G16" s="26" t="n"/>
      <c r="H16" s="26" t="n"/>
      <c r="I16" s="27">
        <f>IFERROR(O16*70%,"-")</f>
        <v/>
      </c>
      <c r="J16" s="28" t="n"/>
      <c r="K16" s="26">
        <f>H16-J16</f>
        <v/>
      </c>
      <c r="L16" s="29" t="n"/>
      <c r="M16" s="30">
        <f>SUM(J16*L16)</f>
        <v/>
      </c>
      <c r="N16" s="30" t="n"/>
      <c r="O16" s="30">
        <f>IFERROR(N16/J16,"-")</f>
        <v/>
      </c>
      <c r="P16" s="30">
        <f>IFERROR(O16-I16,"-")</f>
        <v/>
      </c>
      <c r="Q16" s="30">
        <f>N16-S16</f>
        <v/>
      </c>
      <c r="R16" s="8">
        <f>IFERROR(P16/O16,"-")</f>
        <v/>
      </c>
      <c r="S16" s="30">
        <f>I16*J16</f>
        <v/>
      </c>
      <c r="T16" s="9" t="n"/>
    </row>
    <row r="17">
      <c r="A17" s="1" t="n"/>
      <c r="B17" s="1" t="n"/>
      <c r="C17" s="1" t="n"/>
      <c r="D17" s="2" t="n"/>
      <c r="E17" s="1" t="n"/>
      <c r="F17" s="1" t="n"/>
      <c r="G17" s="26" t="n"/>
      <c r="H17" s="26" t="n"/>
      <c r="I17" s="27">
        <f>IFERROR(O17*70%,"-")</f>
        <v/>
      </c>
      <c r="J17" s="28" t="n"/>
      <c r="K17" s="26">
        <f>H17-J17</f>
        <v/>
      </c>
      <c r="L17" s="29" t="n"/>
      <c r="M17" s="30">
        <f>SUM(J17*L17)</f>
        <v/>
      </c>
      <c r="N17" s="30" t="n"/>
      <c r="O17" s="30">
        <f>IFERROR(N17/J17,"-")</f>
        <v/>
      </c>
      <c r="P17" s="30">
        <f>IFERROR(O17-I17,"-")</f>
        <v/>
      </c>
      <c r="Q17" s="30">
        <f>N17-S17</f>
        <v/>
      </c>
      <c r="R17" s="8">
        <f>IFERROR(P17/O17,"-")</f>
        <v/>
      </c>
      <c r="S17" s="30">
        <f>I17*J17</f>
        <v/>
      </c>
      <c r="T17" s="9" t="n"/>
    </row>
    <row r="18">
      <c r="A18" s="1" t="n"/>
      <c r="B18" s="1" t="n"/>
      <c r="C18" s="1" t="n"/>
      <c r="D18" s="2" t="n"/>
      <c r="E18" s="1" t="n"/>
      <c r="F18" s="1" t="n"/>
      <c r="G18" s="26" t="n"/>
      <c r="H18" s="26" t="n"/>
      <c r="I18" s="27">
        <f>IFERROR(O18*70%,"-")</f>
        <v/>
      </c>
      <c r="J18" s="28" t="n"/>
      <c r="K18" s="26">
        <f>H18-J18</f>
        <v/>
      </c>
      <c r="L18" s="29" t="n"/>
      <c r="M18" s="30">
        <f>SUM(J18*L18)</f>
        <v/>
      </c>
      <c r="N18" s="30" t="n"/>
      <c r="O18" s="30">
        <f>IFERROR(N18/J18,"-")</f>
        <v/>
      </c>
      <c r="P18" s="30">
        <f>IFERROR(O18-I18,"-")</f>
        <v/>
      </c>
      <c r="Q18" s="30">
        <f>N18-S18</f>
        <v/>
      </c>
      <c r="R18" s="8">
        <f>IFERROR(P18/O18,"-")</f>
        <v/>
      </c>
      <c r="S18" s="30">
        <f>I18*J18</f>
        <v/>
      </c>
      <c r="T18" s="9" t="n"/>
    </row>
    <row r="19">
      <c r="A19" s="1" t="n"/>
      <c r="B19" s="1" t="n"/>
      <c r="C19" s="1" t="n"/>
      <c r="D19" s="2" t="n"/>
      <c r="E19" s="1" t="n"/>
      <c r="F19" s="1" t="n"/>
      <c r="G19" s="26" t="n"/>
      <c r="H19" s="26" t="n"/>
      <c r="I19" s="27">
        <f>IFERROR(O19*70%,"-")</f>
        <v/>
      </c>
      <c r="J19" s="28" t="n"/>
      <c r="K19" s="26">
        <f>H19-J19</f>
        <v/>
      </c>
      <c r="L19" s="29" t="n"/>
      <c r="M19" s="30">
        <f>SUM(J19*L19)</f>
        <v/>
      </c>
      <c r="N19" s="30" t="n"/>
      <c r="O19" s="30">
        <f>IFERROR(N19/J19,"-")</f>
        <v/>
      </c>
      <c r="P19" s="30">
        <f>IFERROR(O19-I19,"-")</f>
        <v/>
      </c>
      <c r="Q19" s="30">
        <f>N19-S19</f>
        <v/>
      </c>
      <c r="R19" s="8">
        <f>IFERROR(P19/O19,"-")</f>
        <v/>
      </c>
      <c r="S19" s="30">
        <f>I19*J19</f>
        <v/>
      </c>
      <c r="T19" s="9" t="n"/>
    </row>
    <row r="20">
      <c r="A20" s="1" t="n"/>
      <c r="B20" s="1" t="n"/>
      <c r="C20" s="1" t="n"/>
      <c r="D20" s="2" t="n"/>
      <c r="E20" s="1" t="n"/>
      <c r="F20" s="1" t="n"/>
      <c r="G20" s="26" t="n"/>
      <c r="H20" s="26" t="n"/>
      <c r="I20" s="27">
        <f>IFERROR(O20*70%,"-")</f>
        <v/>
      </c>
      <c r="J20" s="28" t="n"/>
      <c r="K20" s="26">
        <f>H20-J20</f>
        <v/>
      </c>
      <c r="L20" s="29" t="n"/>
      <c r="M20" s="30">
        <f>SUM(J20*L20)</f>
        <v/>
      </c>
      <c r="N20" s="30" t="n"/>
      <c r="O20" s="30">
        <f>IFERROR(N20/J20,"-")</f>
        <v/>
      </c>
      <c r="P20" s="30">
        <f>IFERROR(O20-I20,"-")</f>
        <v/>
      </c>
      <c r="Q20" s="30">
        <f>N20-S20</f>
        <v/>
      </c>
      <c r="R20" s="8">
        <f>IFERROR(P20/O20,"-")</f>
        <v/>
      </c>
      <c r="S20" s="30">
        <f>I20*J20</f>
        <v/>
      </c>
      <c r="T20" s="9" t="n"/>
    </row>
    <row r="21">
      <c r="A21" s="1" t="n"/>
      <c r="B21" s="1" t="n"/>
      <c r="C21" s="1" t="n"/>
      <c r="D21" s="2" t="n"/>
      <c r="E21" s="1" t="n"/>
      <c r="F21" s="1" t="n"/>
      <c r="G21" s="26" t="n"/>
      <c r="H21" s="26" t="n"/>
      <c r="I21" s="27">
        <f>IFERROR(O21*70%,"-")</f>
        <v/>
      </c>
      <c r="J21" s="28" t="n"/>
      <c r="K21" s="26">
        <f>H21-J21</f>
        <v/>
      </c>
      <c r="L21" s="29" t="n"/>
      <c r="M21" s="30">
        <f>SUM(J21*L21)</f>
        <v/>
      </c>
      <c r="N21" s="30" t="n"/>
      <c r="O21" s="30">
        <f>IFERROR(N21/J21,"-")</f>
        <v/>
      </c>
      <c r="P21" s="30">
        <f>IFERROR(O21-I21,"-")</f>
        <v/>
      </c>
      <c r="Q21" s="30">
        <f>N21-S21</f>
        <v/>
      </c>
      <c r="R21" s="8">
        <f>IFERROR(P21/O21,"-")</f>
        <v/>
      </c>
      <c r="S21" s="30">
        <f>I21*J21</f>
        <v/>
      </c>
      <c r="T21" s="9" t="n"/>
    </row>
    <row r="22">
      <c r="A22" s="1" t="n"/>
      <c r="B22" s="1" t="n"/>
      <c r="C22" s="1" t="n"/>
      <c r="D22" s="2" t="n"/>
      <c r="E22" s="1" t="n"/>
      <c r="F22" s="1" t="n"/>
      <c r="G22" s="26" t="n"/>
      <c r="H22" s="26" t="n"/>
      <c r="I22" s="27">
        <f>IFERROR(O22*70%,"-")</f>
        <v/>
      </c>
      <c r="J22" s="28" t="n"/>
      <c r="K22" s="26">
        <f>H22-J22</f>
        <v/>
      </c>
      <c r="L22" s="29" t="n"/>
      <c r="M22" s="30">
        <f>SUM(J22*L22)</f>
        <v/>
      </c>
      <c r="N22" s="30" t="n"/>
      <c r="O22" s="30">
        <f>IFERROR(N22/J22,"-")</f>
        <v/>
      </c>
      <c r="P22" s="30">
        <f>IFERROR(O22-I22,"-")</f>
        <v/>
      </c>
      <c r="Q22" s="30">
        <f>N22-S22</f>
        <v/>
      </c>
      <c r="R22" s="8">
        <f>IFERROR(P22/O22,"-")</f>
        <v/>
      </c>
      <c r="S22" s="30">
        <f>I22*J22</f>
        <v/>
      </c>
      <c r="T22" s="9" t="n"/>
    </row>
    <row r="23">
      <c r="A23" s="1" t="n"/>
      <c r="B23" s="1" t="n"/>
      <c r="C23" s="1" t="n"/>
      <c r="D23" s="2" t="n"/>
      <c r="E23" s="1" t="n"/>
      <c r="F23" s="1" t="n"/>
      <c r="G23" s="26" t="n"/>
      <c r="H23" s="26" t="n"/>
      <c r="I23" s="27">
        <f>IFERROR(O23*70%,"-")</f>
        <v/>
      </c>
      <c r="J23" s="28" t="n"/>
      <c r="K23" s="26">
        <f>H23-J23</f>
        <v/>
      </c>
      <c r="L23" s="29" t="n"/>
      <c r="M23" s="30">
        <f>SUM(J23*L23)</f>
        <v/>
      </c>
      <c r="N23" s="30" t="n"/>
      <c r="O23" s="30">
        <f>IFERROR(N23/J23,"-")</f>
        <v/>
      </c>
      <c r="P23" s="30">
        <f>IFERROR(O23-I23,"-")</f>
        <v/>
      </c>
      <c r="Q23" s="30">
        <f>N23-S23</f>
        <v/>
      </c>
      <c r="R23" s="8">
        <f>IFERROR(P23/O23,"-")</f>
        <v/>
      </c>
      <c r="S23" s="30">
        <f>I23*J23</f>
        <v/>
      </c>
      <c r="T23" s="9" t="n"/>
    </row>
    <row r="24">
      <c r="A24" s="1" t="n"/>
      <c r="B24" s="1" t="n"/>
      <c r="C24" s="1" t="n"/>
      <c r="D24" s="2" t="n"/>
      <c r="E24" s="1" t="n"/>
      <c r="F24" s="1" t="n"/>
      <c r="G24" s="26" t="n"/>
      <c r="H24" s="26" t="n"/>
      <c r="I24" s="27">
        <f>IFERROR(O24*70%,"-")</f>
        <v/>
      </c>
      <c r="J24" s="28" t="n"/>
      <c r="K24" s="26">
        <f>H24-J24</f>
        <v/>
      </c>
      <c r="L24" s="29" t="n"/>
      <c r="M24" s="30">
        <f>SUM(J24*L24)</f>
        <v/>
      </c>
      <c r="N24" s="30" t="n"/>
      <c r="O24" s="30">
        <f>IFERROR(N24/J24,"-")</f>
        <v/>
      </c>
      <c r="P24" s="30">
        <f>IFERROR(O24-I24,"-")</f>
        <v/>
      </c>
      <c r="Q24" s="30">
        <f>N24-S24</f>
        <v/>
      </c>
      <c r="R24" s="8">
        <f>IFERROR(P24/O24,"-")</f>
        <v/>
      </c>
      <c r="S24" s="30">
        <f>I24*J24</f>
        <v/>
      </c>
      <c r="T24" s="9" t="n"/>
    </row>
    <row r="25">
      <c r="A25" s="1" t="n"/>
      <c r="B25" s="1" t="n"/>
      <c r="C25" s="1" t="n"/>
      <c r="D25" s="2" t="n"/>
      <c r="E25" s="1" t="n"/>
      <c r="F25" s="1" t="n"/>
      <c r="G25" s="26" t="n"/>
      <c r="H25" s="26" t="n"/>
      <c r="I25" s="27">
        <f>IFERROR(O25*70%,"-")</f>
        <v/>
      </c>
      <c r="J25" s="28" t="n"/>
      <c r="K25" s="26">
        <f>H25-J25</f>
        <v/>
      </c>
      <c r="L25" s="29" t="n"/>
      <c r="M25" s="30">
        <f>SUM(J25*L25)</f>
        <v/>
      </c>
      <c r="N25" s="30" t="n"/>
      <c r="O25" s="30">
        <f>IFERROR(N25/J25,"-")</f>
        <v/>
      </c>
      <c r="P25" s="30">
        <f>IFERROR(O25-I25,"-")</f>
        <v/>
      </c>
      <c r="Q25" s="30">
        <f>N25-S25</f>
        <v/>
      </c>
      <c r="R25" s="8">
        <f>IFERROR(P25/O25,"-")</f>
        <v/>
      </c>
      <c r="S25" s="30">
        <f>I25*J25</f>
        <v/>
      </c>
      <c r="T25" s="9" t="n"/>
    </row>
    <row r="26">
      <c r="A26" s="1" t="n"/>
      <c r="B26" s="1" t="n"/>
      <c r="C26" s="1" t="n"/>
      <c r="D26" s="2" t="n"/>
      <c r="E26" s="1" t="n"/>
      <c r="F26" s="1" t="n"/>
      <c r="G26" s="26" t="n"/>
      <c r="H26" s="26" t="n"/>
      <c r="I26" s="27">
        <f>IFERROR(O26*70%,"-")</f>
        <v/>
      </c>
      <c r="J26" s="28" t="n"/>
      <c r="K26" s="26">
        <f>H26-J26</f>
        <v/>
      </c>
      <c r="L26" s="29" t="n"/>
      <c r="M26" s="30">
        <f>SUM(J26*L26)</f>
        <v/>
      </c>
      <c r="N26" s="30" t="n"/>
      <c r="O26" s="30">
        <f>IFERROR(N26/J26,"-")</f>
        <v/>
      </c>
      <c r="P26" s="30">
        <f>IFERROR(O26-I26,"-")</f>
        <v/>
      </c>
      <c r="Q26" s="30">
        <f>N26-S26</f>
        <v/>
      </c>
      <c r="R26" s="8">
        <f>IFERROR(P26/O26,"-")</f>
        <v/>
      </c>
      <c r="S26" s="30">
        <f>I26*J26</f>
        <v/>
      </c>
      <c r="T26" s="9" t="n"/>
    </row>
    <row r="27">
      <c r="A27" s="1" t="n"/>
      <c r="B27" s="1" t="n"/>
      <c r="C27" s="1" t="n"/>
      <c r="D27" s="2" t="n"/>
      <c r="E27" s="1" t="n"/>
      <c r="F27" s="1" t="n"/>
      <c r="G27" s="26" t="n"/>
      <c r="H27" s="26" t="n"/>
      <c r="I27" s="27">
        <f>IFERROR(O27*70%,"-")</f>
        <v/>
      </c>
      <c r="J27" s="28" t="n"/>
      <c r="K27" s="26">
        <f>H27-J27</f>
        <v/>
      </c>
      <c r="L27" s="29" t="n"/>
      <c r="M27" s="30">
        <f>SUM(J27*L27)</f>
        <v/>
      </c>
      <c r="N27" s="30" t="n"/>
      <c r="O27" s="30">
        <f>IFERROR(N27/J27,"-")</f>
        <v/>
      </c>
      <c r="P27" s="30">
        <f>IFERROR(O27-I27,"-")</f>
        <v/>
      </c>
      <c r="Q27" s="30">
        <f>N27-S27</f>
        <v/>
      </c>
      <c r="R27" s="8">
        <f>IFERROR(P27/O27,"-")</f>
        <v/>
      </c>
      <c r="S27" s="30">
        <f>I27*J27</f>
        <v/>
      </c>
      <c r="T27" s="9" t="n"/>
    </row>
    <row r="28">
      <c r="A28" s="1" t="n"/>
      <c r="B28" s="1" t="n"/>
      <c r="C28" s="1" t="n"/>
      <c r="D28" s="2" t="n"/>
      <c r="E28" s="1" t="n"/>
      <c r="F28" s="1" t="n"/>
      <c r="G28" s="26" t="n"/>
      <c r="H28" s="26" t="n"/>
      <c r="I28" s="27">
        <f>IFERROR(O28*70%,"-")</f>
        <v/>
      </c>
      <c r="J28" s="28" t="n"/>
      <c r="K28" s="26">
        <f>H28-J28</f>
        <v/>
      </c>
      <c r="L28" s="29" t="n"/>
      <c r="M28" s="30">
        <f>SUM(J28*L28)</f>
        <v/>
      </c>
      <c r="N28" s="30" t="n"/>
      <c r="O28" s="30">
        <f>IFERROR(N28/J28,"-")</f>
        <v/>
      </c>
      <c r="P28" s="30">
        <f>IFERROR(O28-I28,"-")</f>
        <v/>
      </c>
      <c r="Q28" s="30">
        <f>N28-S28</f>
        <v/>
      </c>
      <c r="R28" s="8">
        <f>IFERROR(P28/O28,"-")</f>
        <v/>
      </c>
      <c r="S28" s="30">
        <f>I28*J28</f>
        <v/>
      </c>
      <c r="T28" s="9" t="n"/>
    </row>
    <row r="29">
      <c r="A29" s="1" t="n"/>
      <c r="B29" s="1" t="n"/>
      <c r="C29" s="1" t="n"/>
      <c r="D29" s="2" t="n"/>
      <c r="E29" s="1" t="n"/>
      <c r="F29" s="1" t="n"/>
      <c r="G29" s="26" t="n"/>
      <c r="H29" s="26" t="n"/>
      <c r="I29" s="27">
        <f>IFERROR(O29*70%,"-")</f>
        <v/>
      </c>
      <c r="J29" s="28" t="n"/>
      <c r="K29" s="26">
        <f>H29-J29</f>
        <v/>
      </c>
      <c r="L29" s="29" t="n"/>
      <c r="M29" s="30">
        <f>SUM(J29*L29)</f>
        <v/>
      </c>
      <c r="N29" s="30" t="n"/>
      <c r="O29" s="30">
        <f>IFERROR(N29/J29,"-")</f>
        <v/>
      </c>
      <c r="P29" s="30">
        <f>IFERROR(O29-I29,"-")</f>
        <v/>
      </c>
      <c r="Q29" s="30">
        <f>N29-S29</f>
        <v/>
      </c>
      <c r="R29" s="8">
        <f>IFERROR(P29/O29,"-")</f>
        <v/>
      </c>
      <c r="S29" s="30">
        <f>I29*J29</f>
        <v/>
      </c>
      <c r="T29" s="9" t="n"/>
    </row>
    <row r="30">
      <c r="A30" s="1" t="n"/>
      <c r="B30" s="1" t="n"/>
      <c r="C30" s="1" t="n"/>
      <c r="D30" s="2" t="n"/>
      <c r="E30" s="1" t="n"/>
      <c r="F30" s="1" t="n"/>
      <c r="G30" s="26" t="n"/>
      <c r="H30" s="26" t="n"/>
      <c r="I30" s="27">
        <f>IFERROR(O30*70%,"-")</f>
        <v/>
      </c>
      <c r="J30" s="28" t="n"/>
      <c r="K30" s="26">
        <f>H30-J30</f>
        <v/>
      </c>
      <c r="L30" s="29" t="n"/>
      <c r="M30" s="30">
        <f>SUM(J30*L30)</f>
        <v/>
      </c>
      <c r="N30" s="30" t="n"/>
      <c r="O30" s="30">
        <f>IFERROR(N30/J30,"-")</f>
        <v/>
      </c>
      <c r="P30" s="30">
        <f>IFERROR(O30-I30,"-")</f>
        <v/>
      </c>
      <c r="Q30" s="30">
        <f>N30-S30</f>
        <v/>
      </c>
      <c r="R30" s="8">
        <f>IFERROR(P30/O30,"-")</f>
        <v/>
      </c>
      <c r="S30" s="30">
        <f>I30*J30</f>
        <v/>
      </c>
      <c r="T30" s="9" t="n"/>
    </row>
    <row r="31">
      <c r="A31" s="1" t="n"/>
      <c r="B31" s="1" t="n"/>
      <c r="C31" s="1" t="n"/>
      <c r="D31" s="2" t="n"/>
      <c r="E31" s="1" t="n"/>
      <c r="F31" s="1" t="n"/>
      <c r="G31" s="26" t="n"/>
      <c r="H31" s="26" t="n"/>
      <c r="I31" s="27">
        <f>IFERROR(O31*70%,"-")</f>
        <v/>
      </c>
      <c r="J31" s="28" t="n"/>
      <c r="K31" s="26">
        <f>H31-J31</f>
        <v/>
      </c>
      <c r="L31" s="29" t="n"/>
      <c r="M31" s="30">
        <f>SUM(J31*L31)</f>
        <v/>
      </c>
      <c r="N31" s="30" t="n"/>
      <c r="O31" s="30">
        <f>IFERROR(N31/J31,"-")</f>
        <v/>
      </c>
      <c r="P31" s="30">
        <f>IFERROR(O31-I31,"-")</f>
        <v/>
      </c>
      <c r="Q31" s="30">
        <f>N31-S31</f>
        <v/>
      </c>
      <c r="R31" s="8">
        <f>IFERROR(P31/O31,"-")</f>
        <v/>
      </c>
      <c r="S31" s="30">
        <f>I31*J31</f>
        <v/>
      </c>
      <c r="T31" s="9" t="n"/>
    </row>
    <row r="32">
      <c r="A32" s="1" t="n"/>
      <c r="D32" s="31" t="n"/>
      <c r="G32" s="32" t="n"/>
      <c r="H32" s="32" t="n"/>
      <c r="I32" s="33">
        <f>IFERROR(O32*70%,"-")</f>
        <v/>
      </c>
      <c r="J32" s="32" t="n"/>
      <c r="K32" s="26">
        <f>H32-J32</f>
        <v/>
      </c>
      <c r="L32" s="34" t="n"/>
      <c r="M32" s="33">
        <f>SUM(J32*L32)</f>
        <v/>
      </c>
      <c r="N32" s="33" t="n"/>
      <c r="O32" s="33">
        <f>IFERROR(N32/J32,"-")</f>
        <v/>
      </c>
      <c r="P32" s="33">
        <f>IFERROR(O32-I32,"-")</f>
        <v/>
      </c>
      <c r="Q32" s="33">
        <f>N32-S32</f>
        <v/>
      </c>
      <c r="R32" s="35">
        <f>IFERROR(P32/O32,"-")</f>
        <v/>
      </c>
      <c r="S32" s="33">
        <f>I32*J32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Zain van Staden</dc:creator>
  <dcterms:created xsi:type="dcterms:W3CDTF">2026-07-14T19:01:00Z</dcterms:created>
  <dcterms:modified xsi:type="dcterms:W3CDTF">2026-08-12T20:35:36Z</dcterms:modified>
  <cp:lastModifiedBy>Zain van Staden</cp:lastModifiedBy>
</cp:coreProperties>
</file>